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e31e4610c45852d/Desktop/"/>
    </mc:Choice>
  </mc:AlternateContent>
  <xr:revisionPtr revIDLastSave="0" documentId="8_{3AC46F4A-78DB-47F1-9D7B-0846C372DEA8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/>
  <c r="C21" i="19"/>
  <c r="C19" i="19"/>
  <c r="C15" i="19"/>
  <c r="C13" i="19"/>
  <c r="C30" i="18"/>
  <c r="D30" i="18"/>
  <c r="E30" i="18"/>
  <c r="F30" i="18"/>
  <c r="B30" i="18"/>
  <c r="C29" i="18"/>
  <c r="D29" i="18"/>
  <c r="E29" i="18"/>
  <c r="F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 a="1"/>
  <c r="C6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<sst xmlns="http://schemas.openxmlformats.org/spreadsheetml/2006/main" count="402" uniqueCount="179">
  <si>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</si>
  <si>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</si>
  <si>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</si>
  <si>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</si>
  <si>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</si>
  <si>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</si>
  <si>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</si>
  <si>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</si>
  <si>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</si>
  <si>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</si>
  <si>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</si>
  <si>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</si>
  <si>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</si>
  <si>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</si>
  <si>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</si>
  <si>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</si>
  <si>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</si>
  <si>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</si>
  <si>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</si>
  <si>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</si>
  <si>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</si>
  <si>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</si>
  <si>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</si>
  <si>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</si>
  <si>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</si>
  <si>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</si>
  <si>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</si>
  <si>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</si>
  <si>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</si>
  <si>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</si>
  <si>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</si>
  <si>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</si>
  <si>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</si>
  <si>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</si>
  <si>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</si>
  <si>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</si>
  <si>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</si>
  <si>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</si>
  <si>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</si>
  <si>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</si>
  <si>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</si>
  <si>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</si>
  <si>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</si>
  <si>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</si>
  <si>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</si>
  <si>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</si>
  <si>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</si>
  <si>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</si>
  <si>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</si>
  <si>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</si>
  <si>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</si>
  <si>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</si>
  <si>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</si>
  <si>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</si>
  <si>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</si>
  <si>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</si>
  <si>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</si>
  <si>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</si>
  <si>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</si>
  <si>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</si>
  <si>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</si>
  <si>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</si>
  <si>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</si>
  <si>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</si>
  <si>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</si>
  <si>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</si>
  <si>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</si>
  <si>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</si>
  <si>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</si>
  <si>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</si>
  <si>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</si>
  <si>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</si>
  <si>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</si>
  <si>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</si>
  <si>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</si>
  <si>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</si>
  <si>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</si>
  <si>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</si>
  <si>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</si>
  <si>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</si>
  <si>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</si>
  <si>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</si>
  <si>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</si>
  <si>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</si>
  <si>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</si>
  <si>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</si>
  <si>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</si>
  <si>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</si>
  <si>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</si>
  <si>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</si>
  <si>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</si>
  <si>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</si>
  <si>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</si>
  <si>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</si>
  <si>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</si>
  <si>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</si>
  <si>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</si>
  <si>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</si>
  <si>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</si>
  <si>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</si>
  <si>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</si>
  <si>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</si>
  <si>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</si>
  <si>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</si>
  <si>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</si>
  <si>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</si>
  <si>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</si>
  <si>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</si>
  <si>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</si>
  <si>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</si>
  <si>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</si>
  <si>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</si>
  <si>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</si>
  <si>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</si>
  <si>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</si>
  <si>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</si>
  <si>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</si>
  <si>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</si>
  <si>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</si>
  <si>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</si>
  <si>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</si>
  <si>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</si>
  <si>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</si>
  <si>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</si>
  <si>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</si>
  <si>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</si>
  <si>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</si>
  <si>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</si>
  <si>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</si>
  <si>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</si>
  <si>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</si>
  <si>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</si>
  <si>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</si>
  <si>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</si>
  <si>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</si>
  <si>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</si>
  <si>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</si>
  <si>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</si>
  <si>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</si>
  <si>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</si>
  <si>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</si>
  <si>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</si>
  <si>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</si>
  <si>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</si>
  <si>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</si>
  <si>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</si>
  <si>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</si>
  <si>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</si>
  <si>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</si>
  <si>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</si>
  <si>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</si>
  <si>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</si>
  <si>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</si>
  <si>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</si>
  <si>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</si>
  <si>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</si>
  <si>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</si>
  <si>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</si>
  <si>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</si>
  <si>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</si>
  <si>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</si>
  <si>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</si>
  <si>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</si>
  <si>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</si>
  <si>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</si>
  <si>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</si>
  <si>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</si>
  <si>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</si>
  <si>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</si>
  <si>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</si>
  <si>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</si>
  <si>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</si>
  <si>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</si>
  <si>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</si>
  <si>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</si>
  <si>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</si>
  <si>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</si>
  <si>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IF(ISNA(#N/A), 20 )</t>
  </si>
  <si>
    <t>text to speech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</si>
</sst>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">
    <dxf>
      <font>
        <color rgb="FFFF0000"/>
      </font>
    </dxf>
    <dxf>
      <font>
        <color rgb="FF00B050"/>
      </font>
    </dxf>
    <dxf>
      <font>
        <color rgb="FF92D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" sqref="A2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N1" zoomScaleNormal="100" workbookViewId="0">
      <pane ySplit="1" topLeftCell="A2" activePane="bottomLeft" state="frozen"/>
      <selection pane="bottomLeft" activeCell="X1" sqref="X1:X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 "&gt;20", H2:H40)</f>
        <v>1473.0000000000002</v>
      </c>
    </row>
  </sheetData>
  <conditionalFormatting sqref="A1:A1048576">
    <cfRule type="duplicateValues" dxfId="13" priority="13"/>
  </conditionalFormatting>
  <conditionalFormatting sqref="B1:B1048576">
    <cfRule type="duplicateValues" dxfId="12" priority="12"/>
  </conditionalFormatting>
  <conditionalFormatting sqref="G1:G1048576">
    <cfRule type="cellIs" dxfId="11" priority="11" operator="equal">
      <formula>-1</formula>
    </cfRule>
    <cfRule type="cellIs" dxfId="10" priority="10" operator="equal">
      <formula>0</formula>
    </cfRule>
  </conditionalFormatting>
  <conditionalFormatting sqref="H1:H1048576">
    <cfRule type="cellIs" dxfId="9" priority="8" operator="equal">
      <formula>-1</formula>
    </cfRule>
    <cfRule type="cellIs" dxfId="8" priority="7" operator="equal">
      <formula>0</formula>
    </cfRule>
  </conditionalFormatting>
  <conditionalFormatting sqref="I1:I1048576">
    <cfRule type="cellIs" dxfId="7" priority="6" operator="equal">
      <formula>-1</formula>
    </cfRule>
    <cfRule type="cellIs" dxfId="6" priority="5" operator="equal">
      <formula>0</formula>
    </cfRule>
  </conditionalFormatting>
  <conditionalFormatting sqref="J1:J1048576">
    <cfRule type="cellIs" dxfId="5" priority="4" operator="equal">
      <formula>-1</formula>
    </cfRule>
    <cfRule type="cellIs" dxfId="4" priority="3" operator="equal">
      <formula>0</formula>
    </cfRule>
  </conditionalFormatting>
  <conditionalFormatting sqref="K1:W1048576">
    <cfRule type="cellIs" dxfId="3" priority="2" operator="equal">
      <formula>-1</formula>
    </cfRule>
    <cfRule type="cellIs" dxfId="2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1" t="e">
        <f xml:space="preserve"> SUMIF(#REF!, "&gt;20",#REF!)</f>
        <v>#REF!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conditionalFormatting sqref="C5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7" sqref="E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_xlfn.XLOOKUP(A6,Dataset!A:A,Dataset!G:G)</f>
        <v>2.7</v>
      </c>
      <c r="C6" s="12" cm="1">
        <f t="array" ref="C6:C27">_xlfn.XLOOKUP(A6:A27,Dataset!A:A,Dataset!N:N)</f>
        <v>7.6</v>
      </c>
      <c r="D6" s="12">
        <f>_xlfn.XLOOKUP(A:A,Dataset!A:A,Dataset!R:R)</f>
        <v>4.2</v>
      </c>
      <c r="E6" s="12">
        <f>_xlfn.XLOOKUP(A:A,Dataset!A:A,Dataset!T:T)</f>
        <v>8.9</v>
      </c>
      <c r="F6" s="8">
        <f>_xlfn.XLOOKUP(A:A,Dataset!A:A,Dataset!V:V)</f>
        <v>4.2</v>
      </c>
    </row>
    <row r="7" spans="1:7" ht="14.4" x14ac:dyDescent="0.3">
      <c r="A7" s="7" t="s">
        <v>4</v>
      </c>
      <c r="B7" s="12">
        <f>_xlfn.XLOOKUP(A7,Dataset!A:A,Dataset!G:G)</f>
        <v>2.7</v>
      </c>
      <c r="C7" s="12">
        <v>7.6</v>
      </c>
      <c r="D7" s="12">
        <f>_xlfn.XLOOKUP(A:A,Dataset!A:A,Dataset!R:R)</f>
        <v>4.2</v>
      </c>
      <c r="E7" s="12">
        <f>_xlfn.XLOOKUP(A:A,Dataset!A:A,Dataset!T:T)</f>
        <v>8.9</v>
      </c>
      <c r="F7" s="8">
        <f>_xlfn.XLOOKUP(A:A,Dataset!A:A,Dataset!V:V)</f>
        <v>4.2</v>
      </c>
    </row>
    <row r="8" spans="1:7" ht="14.4" x14ac:dyDescent="0.3">
      <c r="A8" s="7" t="s">
        <v>7</v>
      </c>
      <c r="B8" s="12">
        <f>_xlfn.XLOOKUP(A8,Dataset!A:A,Dataset!G:G)</f>
        <v>3.6</v>
      </c>
      <c r="C8" s="12">
        <v>11.1</v>
      </c>
      <c r="D8" s="12">
        <f>_xlfn.XLOOKUP(A:A,Dataset!A:A,Dataset!R:R)</f>
        <v>5.8</v>
      </c>
      <c r="E8" s="12">
        <f>_xlfn.XLOOKUP(A:A,Dataset!A:A,Dataset!T:T)</f>
        <v>12.2</v>
      </c>
      <c r="F8" s="8">
        <f>_xlfn.XLOOKUP(A:A,Dataset!A:A,Dataset!V:V)</f>
        <v>5.8</v>
      </c>
    </row>
    <row r="9" spans="1:7" ht="14.4" x14ac:dyDescent="0.3">
      <c r="A9" s="7" t="s">
        <v>8</v>
      </c>
      <c r="B9" s="12">
        <f>_xlfn.XLOOKUP(A9,Dataset!A:A,Dataset!G:G)</f>
        <v>4.9000000000000004</v>
      </c>
      <c r="C9" s="12">
        <v>13.3</v>
      </c>
      <c r="D9" s="12">
        <f>_xlfn.XLOOKUP(A:A,Dataset!A:A,Dataset!R:R)</f>
        <v>8.1</v>
      </c>
      <c r="E9" s="12">
        <f>_xlfn.XLOOKUP(A:A,Dataset!A:A,Dataset!T:T)</f>
        <v>17</v>
      </c>
      <c r="F9" s="8">
        <f>_xlfn.XLOOKUP(A:A,Dataset!A:A,Dataset!V:V)</f>
        <v>8.1</v>
      </c>
    </row>
    <row r="10" spans="1:7" ht="14.4" x14ac:dyDescent="0.3">
      <c r="A10" s="7" t="s">
        <v>11</v>
      </c>
      <c r="B10" s="12">
        <f>_xlfn.XLOOKUP(A10,Dataset!A:A,Dataset!G:G)</f>
        <v>9.4</v>
      </c>
      <c r="C10" s="12">
        <v>28.3</v>
      </c>
      <c r="D10" s="12">
        <f>_xlfn.XLOOKUP(A:A,Dataset!A:A,Dataset!R:R)</f>
        <v>16.100000000000001</v>
      </c>
      <c r="E10" s="12">
        <f>_xlfn.XLOOKUP(A:A,Dataset!A:A,Dataset!T:T)</f>
        <v>32.799999999999997</v>
      </c>
      <c r="F10" s="8">
        <f>_xlfn.XLOOKUP(A:A,Dataset!A:A,Dataset!V:V)</f>
        <v>16.100000000000001</v>
      </c>
    </row>
    <row r="11" spans="1:7" ht="14.4" x14ac:dyDescent="0.3">
      <c r="A11" s="7" t="s">
        <v>12</v>
      </c>
      <c r="B11" s="12">
        <f>_xlfn.XLOOKUP(A11,Dataset!A:A,Dataset!G:G)</f>
        <v>11.6</v>
      </c>
      <c r="C11" s="12">
        <v>35.200000000000003</v>
      </c>
      <c r="D11" s="12">
        <f>_xlfn.XLOOKUP(A:A,Dataset!A:A,Dataset!R:R)</f>
        <v>21.3</v>
      </c>
      <c r="E11" s="12">
        <f>_xlfn.XLOOKUP(A:A,Dataset!A:A,Dataset!T:T)</f>
        <v>43</v>
      </c>
      <c r="F11" s="8">
        <f>_xlfn.XLOOKUP(A:A,Dataset!A:A,Dataset!V:V)</f>
        <v>21.3</v>
      </c>
    </row>
    <row r="12" spans="1:7" ht="14.4" x14ac:dyDescent="0.3">
      <c r="A12" s="7" t="s">
        <v>14</v>
      </c>
      <c r="B12" s="12">
        <f>_xlfn.XLOOKUP(A12,Dataset!A:A,Dataset!G:G)</f>
        <v>18.399999999999999</v>
      </c>
      <c r="C12" s="12">
        <v>55.6</v>
      </c>
      <c r="D12" s="12">
        <f>_xlfn.XLOOKUP(A:A,Dataset!A:A,Dataset!R:R)</f>
        <v>33.799999999999997</v>
      </c>
      <c r="E12" s="12">
        <f>_xlfn.XLOOKUP(A:A,Dataset!A:A,Dataset!T:T)</f>
        <v>67.900000000000006</v>
      </c>
      <c r="F12" s="8">
        <f>_xlfn.XLOOKUP(A:A,Dataset!A:A,Dataset!V:V)</f>
        <v>33.799999999999997</v>
      </c>
    </row>
    <row r="13" spans="1:7" ht="14.4" x14ac:dyDescent="0.3">
      <c r="A13" s="7" t="s">
        <v>15</v>
      </c>
      <c r="B13" s="12">
        <f>_xlfn.XLOOKUP(A13,Dataset!A:A,Dataset!G:G)</f>
        <v>0</v>
      </c>
      <c r="C13" s="12">
        <v>0</v>
      </c>
      <c r="D13" s="12">
        <f>_xlfn.XLOOKUP(A:A,Dataset!A:A,Dataset!R:R)</f>
        <v>0</v>
      </c>
      <c r="E13" s="12">
        <f>_xlfn.XLOOKUP(A:A,Dataset!A:A,Dataset!T:T)</f>
        <v>0</v>
      </c>
      <c r="F13" s="8">
        <f>_xlfn.XLOOKUP(A:A,Dataset!A:A,Dataset!V:V)</f>
        <v>0</v>
      </c>
    </row>
    <row r="14" spans="1:7" ht="14.4" x14ac:dyDescent="0.3">
      <c r="A14" s="7" t="s">
        <v>16</v>
      </c>
      <c r="B14" s="12">
        <f>_xlfn.XLOOKUP(A14,Dataset!A:A,Dataset!G:G)</f>
        <v>21.9</v>
      </c>
      <c r="C14" s="12">
        <v>61.5</v>
      </c>
      <c r="D14" s="12">
        <f>_xlfn.XLOOKUP(A:A,Dataset!A:A,Dataset!R:R)</f>
        <v>40.1</v>
      </c>
      <c r="E14" s="12">
        <f>_xlfn.XLOOKUP(A:A,Dataset!A:A,Dataset!T:T)</f>
        <v>76.599999999999994</v>
      </c>
      <c r="F14" s="8">
        <f>_xlfn.XLOOKUP(A:A,Dataset!A:A,Dataset!V:V)</f>
        <v>40.1</v>
      </c>
    </row>
    <row r="15" spans="1:7" ht="14.4" x14ac:dyDescent="0.3">
      <c r="A15" s="7" t="s">
        <v>18</v>
      </c>
      <c r="B15" s="12">
        <f>_xlfn.XLOOKUP(A15,Dataset!A:A,Dataset!G:G)</f>
        <v>26.8</v>
      </c>
      <c r="C15" s="12">
        <v>79.599999999999994</v>
      </c>
      <c r="D15" s="12">
        <f>_xlfn.XLOOKUP(A:A,Dataset!A:A,Dataset!R:R)</f>
        <v>47.9</v>
      </c>
      <c r="E15" s="12">
        <f>_xlfn.XLOOKUP(A:A,Dataset!A:A,Dataset!T:T)</f>
        <v>96.8</v>
      </c>
      <c r="F15" s="8">
        <f>_xlfn.XLOOKUP(A:A,Dataset!A:A,Dataset!V:V)</f>
        <v>47.9</v>
      </c>
    </row>
    <row r="16" spans="1:7" ht="14.4" x14ac:dyDescent="0.3">
      <c r="A16" s="7" t="s">
        <v>20</v>
      </c>
      <c r="B16" s="12">
        <f>_xlfn.XLOOKUP(A16,Dataset!A:A,Dataset!G:G)</f>
        <v>28.5</v>
      </c>
      <c r="C16" s="12">
        <v>85.4</v>
      </c>
      <c r="D16" s="12">
        <f>_xlfn.XLOOKUP(A:A,Dataset!A:A,Dataset!R:R)</f>
        <v>52.3</v>
      </c>
      <c r="E16" s="12">
        <f>_xlfn.XLOOKUP(A:A,Dataset!A:A,Dataset!T:T)</f>
        <v>106.1</v>
      </c>
      <c r="F16" s="8">
        <f>_xlfn.XLOOKUP(A:A,Dataset!A:A,Dataset!V:V)</f>
        <v>52.3</v>
      </c>
    </row>
    <row r="17" spans="1:6" ht="14.4" x14ac:dyDescent="0.3">
      <c r="A17" s="7" t="s">
        <v>22</v>
      </c>
      <c r="B17" s="12">
        <f>_xlfn.XLOOKUP(A17,Dataset!A:A,Dataset!G:G)</f>
        <v>30.7</v>
      </c>
      <c r="C17" s="12">
        <v>92.1</v>
      </c>
      <c r="D17" s="12">
        <f>_xlfn.XLOOKUP(A:A,Dataset!A:A,Dataset!R:R)</f>
        <v>57</v>
      </c>
      <c r="E17" s="12">
        <f>_xlfn.XLOOKUP(A:A,Dataset!A:A,Dataset!T:T)</f>
        <v>115.1</v>
      </c>
      <c r="F17" s="8">
        <f>_xlfn.XLOOKUP(A:A,Dataset!A:A,Dataset!V:V)</f>
        <v>57</v>
      </c>
    </row>
    <row r="18" spans="1:6" ht="14.4" x14ac:dyDescent="0.3">
      <c r="A18" s="7" t="s">
        <v>23</v>
      </c>
      <c r="B18" s="12">
        <f>_xlfn.XLOOKUP(A18,Dataset!A:A,Dataset!G:G)</f>
        <v>33.799999999999997</v>
      </c>
      <c r="C18" s="12">
        <v>101.3</v>
      </c>
      <c r="D18" s="12">
        <f>_xlfn.XLOOKUP(A:A,Dataset!A:A,Dataset!R:R)</f>
        <v>61.4</v>
      </c>
      <c r="E18" s="12">
        <f>_xlfn.XLOOKUP(A:A,Dataset!A:A,Dataset!T:T)</f>
        <v>124.4</v>
      </c>
      <c r="F18" s="8">
        <f>_xlfn.XLOOKUP(A:A,Dataset!A:A,Dataset!V:V)</f>
        <v>61.4</v>
      </c>
    </row>
    <row r="19" spans="1:6" ht="14.4" x14ac:dyDescent="0.3">
      <c r="A19" s="7" t="s">
        <v>24</v>
      </c>
      <c r="B19" s="12">
        <f>_xlfn.XLOOKUP(A19,Dataset!A:A,Dataset!G:G)</f>
        <v>34.700000000000003</v>
      </c>
      <c r="C19" s="12">
        <v>106.1</v>
      </c>
      <c r="D19" s="12">
        <f>_xlfn.XLOOKUP(A:A,Dataset!A:A,Dataset!R:R)</f>
        <v>63.6</v>
      </c>
      <c r="E19" s="12">
        <f>_xlfn.XLOOKUP(A:A,Dataset!A:A,Dataset!T:T)</f>
        <v>128.6</v>
      </c>
      <c r="F19" s="8">
        <f>_xlfn.XLOOKUP(A:A,Dataset!A:A,Dataset!V:V)</f>
        <v>63.6</v>
      </c>
    </row>
    <row r="20" spans="1:6" ht="14.4" x14ac:dyDescent="0.3">
      <c r="A20" s="7" t="s">
        <v>28</v>
      </c>
      <c r="B20" s="12">
        <f>_xlfn.XLOOKUP(A20,Dataset!A:A,Dataset!G:G)</f>
        <v>0</v>
      </c>
      <c r="C20" s="12">
        <v>0</v>
      </c>
      <c r="D20" s="12">
        <f>_xlfn.XLOOKUP(A:A,Dataset!A:A,Dataset!R:R)</f>
        <v>0</v>
      </c>
      <c r="E20" s="12">
        <f>_xlfn.XLOOKUP(A:A,Dataset!A:A,Dataset!T:T)</f>
        <v>0</v>
      </c>
      <c r="F20" s="8">
        <f>_xlfn.XLOOKUP(A:A,Dataset!A:A,Dataset!V:V)</f>
        <v>0</v>
      </c>
    </row>
    <row r="21" spans="1:6" ht="14.4" x14ac:dyDescent="0.3">
      <c r="A21" s="7" t="s">
        <v>57</v>
      </c>
      <c r="B21" s="12">
        <f>_xlfn.XLOOKUP(A21,Dataset!A:A,Dataset!G:G)</f>
        <v>41.3</v>
      </c>
      <c r="C21" s="12">
        <v>124.4</v>
      </c>
      <c r="D21" s="12">
        <f>_xlfn.XLOOKUP(A:A,Dataset!A:A,Dataset!R:R)</f>
        <v>75</v>
      </c>
      <c r="E21" s="12">
        <f>_xlfn.XLOOKUP(A:A,Dataset!A:A,Dataset!T:T)</f>
        <v>151.5</v>
      </c>
      <c r="F21" s="8">
        <f>_xlfn.XLOOKUP(A:A,Dataset!A:A,Dataset!V:V)</f>
        <v>75</v>
      </c>
    </row>
    <row r="22" spans="1:6" ht="14.4" x14ac:dyDescent="0.3">
      <c r="A22" s="7" t="s">
        <v>58</v>
      </c>
      <c r="B22" s="12">
        <f>_xlfn.XLOOKUP(A22,Dataset!A:A,Dataset!G:G)</f>
        <v>-1</v>
      </c>
      <c r="C22" s="12">
        <v>-1</v>
      </c>
      <c r="D22" s="12">
        <f>_xlfn.XLOOKUP(A:A,Dataset!A:A,Dataset!R:R)</f>
        <v>-1</v>
      </c>
      <c r="E22" s="12">
        <f>_xlfn.XLOOKUP(A:A,Dataset!A:A,Dataset!T:T)</f>
        <v>-1</v>
      </c>
      <c r="F22" s="8">
        <f>_xlfn.XLOOKUP(A:A,Dataset!A:A,Dataset!V:V)</f>
        <v>-1</v>
      </c>
    </row>
    <row r="23" spans="1:6" ht="14.4" x14ac:dyDescent="0.3">
      <c r="A23" s="7" t="s">
        <v>31</v>
      </c>
      <c r="B23" s="12">
        <f>_xlfn.XLOOKUP(A23,Dataset!A:A,Dataset!G:G)</f>
        <v>45</v>
      </c>
      <c r="C23" s="12">
        <v>133.4</v>
      </c>
      <c r="D23" s="12">
        <f>_xlfn.XLOOKUP(A:A,Dataset!A:A,Dataset!R:R)</f>
        <v>79.400000000000006</v>
      </c>
      <c r="E23" s="12">
        <f>_xlfn.XLOOKUP(A:A,Dataset!A:A,Dataset!T:T)</f>
        <v>160.9</v>
      </c>
      <c r="F23" s="8">
        <f>_xlfn.XLOOKUP(A:A,Dataset!A:A,Dataset!V:V)</f>
        <v>79.400000000000006</v>
      </c>
    </row>
    <row r="24" spans="1:6" ht="14.4" x14ac:dyDescent="0.3">
      <c r="A24" s="7" t="s">
        <v>32</v>
      </c>
      <c r="B24" s="12">
        <f>_xlfn.XLOOKUP(A24,Dataset!A:A,Dataset!G:G)</f>
        <v>-1</v>
      </c>
      <c r="C24" s="12">
        <v>-1</v>
      </c>
      <c r="D24" s="12">
        <f>_xlfn.XLOOKUP(A:A,Dataset!A:A,Dataset!R:R)</f>
        <v>-1</v>
      </c>
      <c r="E24" s="12">
        <f>_xlfn.XLOOKUP(A:A,Dataset!A:A,Dataset!T:T)</f>
        <v>-1</v>
      </c>
      <c r="F24" s="8">
        <f>_xlfn.XLOOKUP(A:A,Dataset!A:A,Dataset!V:V)</f>
        <v>-1</v>
      </c>
    </row>
    <row r="25" spans="1:6" ht="14.4" x14ac:dyDescent="0.3">
      <c r="A25" s="7" t="s">
        <v>34</v>
      </c>
      <c r="B25" s="12">
        <f>_xlfn.XLOOKUP(A25,Dataset!A:A,Dataset!G:G)</f>
        <v>43.3</v>
      </c>
      <c r="C25" s="12">
        <v>128.6</v>
      </c>
      <c r="D25" s="12">
        <f>_xlfn.XLOOKUP(A:A,Dataset!A:A,Dataset!R:R)</f>
        <v>79.400000000000006</v>
      </c>
      <c r="E25" s="12">
        <f>_xlfn.XLOOKUP(A:A,Dataset!A:A,Dataset!T:T)</f>
        <v>160.9</v>
      </c>
      <c r="F25" s="8">
        <f>_xlfn.XLOOKUP(A:A,Dataset!A:A,Dataset!V:V)</f>
        <v>79.400000000000006</v>
      </c>
    </row>
    <row r="26" spans="1:6" ht="14.4" x14ac:dyDescent="0.3">
      <c r="A26" s="7" t="s">
        <v>37</v>
      </c>
      <c r="B26" s="12">
        <f>_xlfn.XLOOKUP(A26,Dataset!A:A,Dataset!G:G)</f>
        <v>49.1</v>
      </c>
      <c r="C26" s="12">
        <v>146.80000000000001</v>
      </c>
      <c r="D26" s="12">
        <f>_xlfn.XLOOKUP(A:A,Dataset!A:A,Dataset!R:R)</f>
        <v>90.9</v>
      </c>
      <c r="E26" s="12">
        <f>_xlfn.XLOOKUP(A:A,Dataset!A:A,Dataset!T:T)</f>
        <v>183.5</v>
      </c>
      <c r="F26" s="8">
        <f>_xlfn.XLOOKUP(A:A,Dataset!A:A,Dataset!V:V)</f>
        <v>90.9</v>
      </c>
    </row>
    <row r="27" spans="1:6" ht="14.4" x14ac:dyDescent="0.3">
      <c r="A27" s="7" t="s">
        <v>39</v>
      </c>
      <c r="B27" s="12">
        <f>_xlfn.XLOOKUP(A27,Dataset!A:A,Dataset!G:G)</f>
        <v>51.8</v>
      </c>
      <c r="C27" s="12">
        <v>156.4</v>
      </c>
      <c r="D27" s="12">
        <f>_xlfn.XLOOKUP(A:A,Dataset!A:A,Dataset!R:R)</f>
        <v>93.1</v>
      </c>
      <c r="E27" s="12">
        <f>_xlfn.XLOOKUP(A:A,Dataset!A:A,Dataset!T:T)</f>
        <v>188.1</v>
      </c>
      <c r="F27" s="8">
        <f>_xlfn.XLOOKUP(A:A,Dataset!A:A,Dataset!V:V)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0">MAX(C6:C27)</f>
        <v>156.4</v>
      </c>
      <c r="D29" s="31">
        <f t="shared" si="0"/>
        <v>93.1</v>
      </c>
      <c r="E29" s="31">
        <f t="shared" si="0"/>
        <v>188.1</v>
      </c>
      <c r="F29" s="31">
        <f t="shared" si="0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1">AVERAGE(C6:C27)</f>
        <v>62.377272727272725</v>
      </c>
      <c r="D30" s="31">
        <f t="shared" si="1"/>
        <v>37.800000000000004</v>
      </c>
      <c r="E30" s="31">
        <f t="shared" si="1"/>
        <v>76.418181818181822</v>
      </c>
      <c r="F30" s="31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178</v>
      </c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17" sqref="G1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7" t="s">
        <v>177</v>
      </c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f>IF(ISNA(#N/A), 20 )</f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f>IF(ISNA(#N/A), 20 )</f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f>IF(ISNA(#N/A), 20 )</f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f>IF(ISNA(#N/A), 20 )</f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/>
    </row>
    <row r="24" spans="1:14" ht="14.4" x14ac:dyDescent="0.3">
      <c r="A24" s="7">
        <v>10100</v>
      </c>
      <c r="B24" s="12">
        <v>10104</v>
      </c>
      <c r="C24" s="43"/>
    </row>
    <row r="25" spans="1:14" ht="14.4" x14ac:dyDescent="0.3">
      <c r="A25" s="7">
        <v>10108</v>
      </c>
      <c r="B25" s="12">
        <v>10102</v>
      </c>
      <c r="C25" s="43"/>
    </row>
    <row r="26" spans="1:14" ht="14.4" x14ac:dyDescent="0.3">
      <c r="A26" s="7">
        <v>10100</v>
      </c>
      <c r="B26" s="12">
        <v>10106</v>
      </c>
      <c r="C26" s="43"/>
    </row>
    <row r="27" spans="1:14" ht="14.4" x14ac:dyDescent="0.3">
      <c r="A27" s="7">
        <v>10108</v>
      </c>
      <c r="B27" s="12">
        <v>10110</v>
      </c>
      <c r="C27" s="43"/>
    </row>
    <row r="28" spans="1:14" ht="14.4" x14ac:dyDescent="0.3">
      <c r="A28" s="7">
        <v>10102</v>
      </c>
      <c r="B28" s="12">
        <v>10104</v>
      </c>
      <c r="C28" s="43"/>
    </row>
    <row r="29" spans="1:14" ht="14.4" x14ac:dyDescent="0.3">
      <c r="A29" s="7">
        <v>10106</v>
      </c>
      <c r="B29" s="12">
        <v>10108</v>
      </c>
      <c r="C29" s="43"/>
    </row>
    <row r="30" spans="1:14" ht="14.4" x14ac:dyDescent="0.3">
      <c r="A30" s="7">
        <v>10102</v>
      </c>
      <c r="B30" s="12">
        <v>10106</v>
      </c>
      <c r="C30" s="43"/>
    </row>
    <row r="31" spans="1:14" ht="14.4" x14ac:dyDescent="0.3">
      <c r="A31" s="7">
        <v>10110</v>
      </c>
      <c r="B31" s="12">
        <v>10114</v>
      </c>
      <c r="C31" s="43"/>
    </row>
    <row r="32" spans="1:14" ht="14.4" x14ac:dyDescent="0.3">
      <c r="A32" s="7">
        <v>10104</v>
      </c>
      <c r="B32" s="12">
        <v>10106</v>
      </c>
      <c r="C32" s="43"/>
    </row>
    <row r="33" spans="1:3" ht="14.4" x14ac:dyDescent="0.3">
      <c r="A33" s="7">
        <v>10110</v>
      </c>
      <c r="B33" s="12">
        <v>10112</v>
      </c>
      <c r="C33" s="43"/>
    </row>
    <row r="34" spans="1:3" ht="14.4" x14ac:dyDescent="0.3">
      <c r="A34" s="7">
        <v>10100</v>
      </c>
      <c r="B34" s="12">
        <v>10114</v>
      </c>
      <c r="C34" s="43"/>
    </row>
    <row r="35" spans="1:3" ht="14.4" x14ac:dyDescent="0.3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pushkar vats</cp:lastModifiedBy>
  <dcterms:created xsi:type="dcterms:W3CDTF">2015-02-10T17:33:11Z</dcterms:created>
  <dcterms:modified xsi:type="dcterms:W3CDTF">2023-12-10T10:18:52Z</dcterms:modified>
</cp:coreProperties>
</file>